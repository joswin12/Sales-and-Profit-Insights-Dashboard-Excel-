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44FF2FF2-A711-4980-BE4D-822DC72A835B}" xr6:coauthVersionLast="47" xr6:coauthVersionMax="47" xr10:uidLastSave="{00000000-0000-0000-0000-000000000000}"/>
  <bookViews>
    <workbookView xWindow="-108" yWindow="-108" windowWidth="23256" windowHeight="13176" firstSheet="1" activeTab="1" xr2:uid="{00000000-000D-0000-FFFF-FFFF00000000}"/>
  </bookViews>
  <sheets>
    <sheet name="Sheet1" sheetId="3" state="hidden" r:id="rId1"/>
    <sheet name="Dashboard" sheetId="13" r:id="rId2"/>
    <sheet name="Pivot 1" sheetId="6" r:id="rId3"/>
    <sheet name="Pivot 2" sheetId="7" r:id="rId4"/>
    <sheet name="Pivot 3" sheetId="9" r:id="rId5"/>
    <sheet name="Pivot 4" sheetId="11" r:id="rId6"/>
    <sheet name="Pivot 5" sheetId="12" r:id="rId7"/>
    <sheet name="Data" sheetId="1" r:id="rId8"/>
  </sheets>
  <definedNames>
    <definedName name="_xlnm._FilterDatabase" localSheetId="7" hidden="1">Data!$A$1:$A$2001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<sst xmlns="http://schemas.openxmlformats.org/spreadsheetml/2006/main" count="14115" uniqueCount="2053">
  <si>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</si>
  <si>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</si>
  <si>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</si>
  <si>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</si>
  <si>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</si>
  <si>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</si>
  <si>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</si>
  <si>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</si>
  <si>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</si>
  <si>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</si>
  <si>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</si>
  <si>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</si>
  <si>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</si>
  <si>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</si>
  <si>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</si>
  <si>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</si>
  <si>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</si>
  <si>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</si>
  <si>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</si>
  <si>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</si>
  <si>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</si>
  <si>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</si>
  <si>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</si>
  <si>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</si>
  <si>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</si>
  <si>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</si>
  <si>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</si>
  <si>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</si>
  <si>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</si>
  <si>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</si>
  <si>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</si>
  <si>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</si>
  <si>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</si>
  <si>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</si>
  <si>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</si>
  <si>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</si>
  <si>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</si>
  <si>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</si>
  <si>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</si>
  <si>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</si>
  <si>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</si>
  <si>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</si>
  <si>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</si>
  <si>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</si>
  <si>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</si>
  <si>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</si>
  <si>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</si>
  <si>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</si>
  <si>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</si>
  <si>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</si>
  <si>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</si>
  <si>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</si>
  <si>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</si>
  <si>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</si>
  <si>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</si>
  <si>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</si>
  <si>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</si>
  <si>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</si>
  <si>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</si>
  <si>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</si>
  <si>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</si>
  <si>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</si>
  <si>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</si>
  <si>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</si>
  <si>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</si>
  <si>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</si>
  <si>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</si>
  <si>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</si>
  <si>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</si>
  <si>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</si>
  <si>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</si>
  <si>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</si>
  <si>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</si>
  <si>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</si>
  <si>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</si>
  <si>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</si>
  <si>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</si>
  <si>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</si>
  <si>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</si>
  <si>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</si>
  <si>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</si>
  <si>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</si>
  <si>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</si>
  <si>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</si>
  <si>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</si>
  <si>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</si>
  <si>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</si>
  <si>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</si>
  <si>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</si>
  <si>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</si>
  <si>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</si>
  <si>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</si>
  <si>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</si>
  <si>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</si>
  <si>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</si>
  <si>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</si>
  <si>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</si>
  <si>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</si>
  <si>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</si>
  <si>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</si>
  <si>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</si>
  <si>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</si>
  <si>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</si>
  <si>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</si>
  <si>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</si>
  <si>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</si>
  <si>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</si>
  <si>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</si>
  <si>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</si>
  <si>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</si>
  <si>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</si>
  <si>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</si>
  <si>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</si>
  <si>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</si>
  <si>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</si>
  <si>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</si>
  <si>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</si>
  <si>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</si>
  <si>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</si>
  <si>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</si>
  <si>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</si>
  <si>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</si>
  <si>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</si>
  <si>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</si>
  <si>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</si>
  <si>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</si>
  <si>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</si>
  <si>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</si>
  <si>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</si>
  <si>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</si>
  <si>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</si>
  <si>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</si>
  <si>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</si>
  <si>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</si>
  <si>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</si>
  <si>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</si>
  <si>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</si>
  <si>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</si>
  <si>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</si>
  <si>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</si>
  <si>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</si>
  <si>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</si>
  <si>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</si>
  <si>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</si>
  <si>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</si>
  <si>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</si>
  <si>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</si>
  <si>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</si>
  <si>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</si>
  <si>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</si>
  <si>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</si>
  <si>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</si>
  <si>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</si>
  <si>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</si>
  <si>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</si>
  <si>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</si>
  <si>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</si>
  <si>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</si>
  <si>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</si>
  <si>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</si>
  <si>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</si>
  <si>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</si>
  <si>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</si>
  <si>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</si>
  <si>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</si>
  <si>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</si>
  <si>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</si>
  <si>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</si>
  <si>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</si>
  <si>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</si>
  <si>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</si>
  <si>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</si>
  <si>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</si>
  <si>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</si>
  <si>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</si>
  <si>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</si>
  <si>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</si>
  <si>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</si>
  <si>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</si>
  <si>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</si>
  <si>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</si>
  <si>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</si>
  <si>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</si>
  <si>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</si>
  <si>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</si>
  <si>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</si>
  <si>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</si>
  <si>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</si>
  <si>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</si>
  <si>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</si>
  <si>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</si>
  <si>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</si>
  <si>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</si>
  <si>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</si>
  <si>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</si>
  <si>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</si>
  <si>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</si>
  <si>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</si>
  <si>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</si>
  <si>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</si>
  <si>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</si>
  <si>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</si>
  <si>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</si>
  <si>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</si>
  <si>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</si>
  <si>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</si>
  <si>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</si>
  <si>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</si>
  <si>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</si>
  <si>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</si>
  <si>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</si>
  <si>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</si>
  <si>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</si>
  <si>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</si>
  <si>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</si>
  <si>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</si>
  <si>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</si>
  <si>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</si>
  <si>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</si>
  <si>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</si>
  <si>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</si>
  <si>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</si>
  <si>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</si>
  <si>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</si>
  <si>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</si>
  <si>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</si>
  <si>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</si>
  <si>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</si>
  <si>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</si>
  <si>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</si>
  <si>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</si>
  <si>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</si>
  <si>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</si>
  <si>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</si>
  <si>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</si>
  <si>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</si>
  <si>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</si>
  <si>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</si>
  <si>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</si>
  <si>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</si>
  <si>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</si>
  <si>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</si>
  <si>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</si>
  <si>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</si>
  <si>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</si>
  <si>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</si>
  <si>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</si>
  <si>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</si>
  <si>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</si>
  <si>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</si>
  <si>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</si>
  <si>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</si>
  <si>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</si>
  <si>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</si>
  <si>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</si>
  <si>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</si>
  <si>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</si>
  <si>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</si>
  <si>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</si>
  <si>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</si>
  <si>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</si>
  <si>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</si>
  <si>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</si>
  <si>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</si>
  <si>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</si>
  <si>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</si>
  <si>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</si>
  <si>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</si>
  <si>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</si>
  <si>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</si>
  <si>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</si>
  <si>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</si>
  <si>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</si>
  <si>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</si>
  <si>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</si>
  <si>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</si>
  <si>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</si>
  <si>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</si>
  <si>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</si>
  <si>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</si>
  <si>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</si>
  <si>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</si>
  <si>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</si>
  <si>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</si>
  <si>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</si>
  <si>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</si>
  <si>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</si>
  <si>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</si>
  <si>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</si>
  <si>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</si>
  <si>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</si>
  <si>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</si>
  <si>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</si>
  <si>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</si>
  <si>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</si>
  <si>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</si>
  <si>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</si>
  <si>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</si>
  <si>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</si>
  <si>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</si>
  <si>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</si>
  <si>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</si>
  <si>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</si>
  <si>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</si>
  <si>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</si>
  <si>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</si>
  <si>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</si>
  <si>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</si>
  <si>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</si>
  <si>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</si>
  <si>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</si>
  <si>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</si>
  <si>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</si>
  <si>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</si>
  <si>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</si>
  <si>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</si>
  <si>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</si>
  <si>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</si>
  <si>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</si>
  <si>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</si>
  <si>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</si>
  <si>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</si>
  <si>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</si>
  <si>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</si>
  <si>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</si>
  <si>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</si>
  <si>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</si>
  <si>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</si>
  <si>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</si>
  <si>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</si>
  <si>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</si>
  <si>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</si>
  <si>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</si>
  <si>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</si>
  <si>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</si>
  <si>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</si>
  <si>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</si>
  <si>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</si>
  <si>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</si>
  <si>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</si>
  <si>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</si>
  <si>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</si>
  <si>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</si>
  <si>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</si>
  <si>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</si>
  <si>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</si>
  <si>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</si>
  <si>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</si>
  <si>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</si>
  <si>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</si>
  <si>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</si>
  <si>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</si>
  <si>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</si>
  <si>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</si>
  <si>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</si>
  <si>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</si>
  <si>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</si>
  <si>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</si>
  <si>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</si>
  <si>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</si>
  <si>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</si>
  <si>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</si>
  <si>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</si>
  <si>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</si>
  <si>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</si>
  <si>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</si>
  <si>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</si>
  <si>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</si>
  <si>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</si>
  <si>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</si>
  <si>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</si>
  <si>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</si>
  <si>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</si>
  <si>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</si>
  <si>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</si>
  <si>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</si>
  <si>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</si>
  <si>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</si>
  <si>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</si>
  <si>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</si>
  <si>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</si>
  <si>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</si>
  <si>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</si>
  <si>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</si>
  <si>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</si>
  <si>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</si>
  <si>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</si>
  <si>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</si>
  <si>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</si>
  <si>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</si>
  <si>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</si>
  <si>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</si>
  <si>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</si>
  <si>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</si>
  <si>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</si>
  <si>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</si>
  <si>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</si>
  <si>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</si>
  <si>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</si>
  <si>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</si>
  <si>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</si>
  <si>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</si>
  <si>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</si>
  <si>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</si>
  <si>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</si>
  <si>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</si>
  <si>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</si>
  <si>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</si>
  <si>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</si>
  <si>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</si>
  <si>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</si>
  <si>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</si>
  <si>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</si>
  <si>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</si>
  <si>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</si>
  <si>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</si>
  <si>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</si>
  <si>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</si>
  <si>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</si>
  <si>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</si>
  <si>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</si>
  <si>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</si>
  <si>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</si>
  <si>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</si>
  <si>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</si>
  <si>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</si>
  <si>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</si>
  <si>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</si>
  <si>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</si>
  <si>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</si>
  <si>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</si>
  <si>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</si>
  <si>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</si>
  <si>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</si>
  <si>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</si>
  <si>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</si>
  <si>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</si>
  <si>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</si>
  <si>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</si>
  <si>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</si>
  <si>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</si>
  <si>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</si>
  <si>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</si>
  <si>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</si>
  <si>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</si>
  <si>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</si>
  <si>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</si>
  <si>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</si>
  <si>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</si>
  <si>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</si>
  <si>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</si>
  <si>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</si>
  <si>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</si>
  <si>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</si>
  <si>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</si>
  <si>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</si>
  <si>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</si>
  <si>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</si>
  <si>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</si>
  <si>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</si>
  <si>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</si>
  <si>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</si>
  <si>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</si>
  <si>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</si>
  <si>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</si>
  <si>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</si>
  <si>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</si>
  <si>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</si>
  <si>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</si>
  <si>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</si>
  <si>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</si>
  <si>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</si>
  <si>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</si>
  <si>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</si>
  <si>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</si>
  <si>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</si>
  <si>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</si>
  <si>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</si>
  <si>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</si>
  <si>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</si>
  <si>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</si>
  <si>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</si>
  <si>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</si>
  <si>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</si>
  <si>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</si>
  <si>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</si>
  <si>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</si>
  <si>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</si>
  <si>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</si>
  <si>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</si>
  <si>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</si>
  <si>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</si>
  <si>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</si>
  <si>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</si>
  <si>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</si>
  <si>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</si>
  <si>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</si>
  <si>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</si>
  <si>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</si>
  <si>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</si>
  <si>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</si>
  <si>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</si>
  <si>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</si>
  <si>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</si>
  <si>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</si>
  <si>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</si>
  <si>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</si>
  <si>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</si>
  <si>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</si>
  <si>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</si>
  <si>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</si>
  <si>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</si>
  <si>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</si>
  <si>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</si>
  <si>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</si>
  <si>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</si>
  <si>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</si>
  <si>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</si>
  <si>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</si>
  <si>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</si>
  <si>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</si>
  <si>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</si>
  <si>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</si>
  <si>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</si>
  <si>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</si>
  <si>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</si>
  <si>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</si>
  <si>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</si>
  <si>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</si>
  <si>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</si>
  <si>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</si>
  <si>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</si>
  <si>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</si>
  <si>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</si>
  <si>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</si>
  <si>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</si>
  <si>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</si>
  <si>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</si>
  <si>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</si>
  <si>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</si>
  <si>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</si>
  <si>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</si>
  <si>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</si>
  <si>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</si>
  <si>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</si>
  <si>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</si>
  <si>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</si>
  <si>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</si>
  <si>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</si>
  <si>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</si>
  <si>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</si>
  <si>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</si>
  <si>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</si>
  <si>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</si>
  <si>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</si>
  <si>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</si>
  <si>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</si>
  <si>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</si>
  <si>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</si>
  <si>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</si>
  <si>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</si>
  <si>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</si>
  <si>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</si>
  <si>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</si>
  <si>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</si>
  <si>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</si>
  <si>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</si>
  <si>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</si>
  <si>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</si>
  <si>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</si>
  <si>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</si>
  <si>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</si>
  <si>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</si>
  <si>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</si>
  <si>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</si>
  <si>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</si>
  <si>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</si>
  <si>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</si>
  <si>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</si>
  <si>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</si>
  <si>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</si>
  <si>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</si>
  <si>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</si>
  <si>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</si>
  <si>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</si>
  <si>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</si>
  <si>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</si>
  <si>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</si>
  <si>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</si>
  <si>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</si>
  <si>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</si>
  <si>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</si>
  <si>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</si>
  <si>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</si>
  <si>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</si>
  <si>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</si>
  <si>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</si>
  <si>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</si>
  <si>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</si>
  <si>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</si>
  <si>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</si>
  <si>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</si>
  <si>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</si>
  <si>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</si>
  <si>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</si>
  <si>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</si>
  <si>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</si>
  <si>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</si>
  <si>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</si>
  <si>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</si>
  <si>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</si>
  <si>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</si>
  <si>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</si>
  <si>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</si>
  <si>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</si>
  <si>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</si>
  <si>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</si>
  <si>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</si>
  <si>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</si>
  <si>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</si>
  <si>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</si>
  <si>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</si>
  <si>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</si>
  <si>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</si>
  <si>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</si>
  <si>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</si>
  <si>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</si>
  <si>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</si>
  <si>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</si>
  <si>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</si>
  <si>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</si>
  <si>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</si>
  <si>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</si>
  <si>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</si>
  <si>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</si>
  <si>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</si>
  <si>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</si>
  <si>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</si>
  <si>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</si>
  <si>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</si>
  <si>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</si>
  <si>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</si>
  <si>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</si>
  <si>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</si>
  <si>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</si>
  <si>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</si>
  <si>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</si>
  <si>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</si>
  <si>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</si>
  <si>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</si>
  <si>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</si>
  <si>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</si>
  <si>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</si>
  <si>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</si>
  <si>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</si>
  <si>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</si>
  <si>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</si>
  <si>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</si>
  <si>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</si>
  <si>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</si>
  <si>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</si>
  <si>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</si>
  <si>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</si>
  <si>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</si>
  <si>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</si>
  <si>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</si>
  <si>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</si>
  <si>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</si>
  <si>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</si>
  <si>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</si>
  <si>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</si>
  <si>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</si>
  <si>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</si>
  <si>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</si>
  <si>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</si>
  <si>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</si>
  <si>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</si>
  <si>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</si>
  <si>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</si>
  <si>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</si>
  <si>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</si>
  <si>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</si>
  <si>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</si>
  <si>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</si>
  <si>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</si>
  <si>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</si>
  <si>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</si>
  <si>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</si>
  <si>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</si>
  <si>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</si>
  <si>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</si>
  <si>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</si>
  <si>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</si>
  <si>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</si>
  <si>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</si>
  <si>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</si>
  <si>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</si>
  <si>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</si>
  <si>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</si>
  <si>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</si>
  <si>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</si>
  <si>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</si>
  <si>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</si>
  <si>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</si>
  <si>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</si>
  <si>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</si>
  <si>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</si>
  <si>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</si>
  <si>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</si>
  <si>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</si>
  <si>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</si>
  <si>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</si>
  <si>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</si>
  <si>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</si>
  <si>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</si>
  <si>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</si>
  <si>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</si>
  <si>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</si>
  <si>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</si>
  <si>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</si>
  <si>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</si>
  <si>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</si>
  <si>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</si>
  <si>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</si>
  <si>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</si>
  <si>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</si>
  <si>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</si>
  <si>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</si>
  <si>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</si>
  <si>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</si>
  <si>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</si>
  <si>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</si>
  <si>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</si>
  <si>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</si>
  <si>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</si>
  <si>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</si>
  <si>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</si>
  <si>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</si>
  <si>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</si>
  <si>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</si>
  <si>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</si>
  <si>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</si>
  <si>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</si>
  <si>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</si>
  <si>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</si>
  <si>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</si>
  <si>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</si>
  <si>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</si>
  <si>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</si>
  <si>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</si>
  <si>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</si>
  <si>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</si>
  <si>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</si>
  <si>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</si>
  <si>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</si>
  <si>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</si>
  <si>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</si>
  <si>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</si>
  <si>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</si>
  <si>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</si>
  <si>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</si>
  <si>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</si>
  <si>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</si>
  <si>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</si>
  <si>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</si>
  <si>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</si>
  <si>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</si>
  <si>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</si>
  <si>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</si>
  <si>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</si>
  <si>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</si>
  <si>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</si>
  <si>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</si>
  <si>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</si>
  <si>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</si>
  <si>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</si>
  <si>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</si>
  <si>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</si>
  <si>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</si>
  <si>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</si>
  <si>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</si>
  <si>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</si>
  <si>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</si>
  <si>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</si>
  <si>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</si>
  <si>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</si>
  <si>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</si>
  <si>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</si>
  <si>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</si>
  <si>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</si>
  <si>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</si>
  <si>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</si>
  <si>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</si>
  <si>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</si>
  <si>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</si>
  <si>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</si>
  <si>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</si>
  <si>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</si>
  <si>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</si>
  <si>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</si>
  <si>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</si>
  <si>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</si>
  <si>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</si>
  <si>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</si>
  <si>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</si>
  <si>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</si>
  <si>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</si>
  <si>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</si>
  <si>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</si>
  <si>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</si>
  <si>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</si>
  <si>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</si>
  <si>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</si>
  <si>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</si>
  <si>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</si>
  <si>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</si>
  <si>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</si>
  <si>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</si>
  <si>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</si>
  <si>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</si>
  <si>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</si>
  <si>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</si>
  <si>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</si>
  <si>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</si>
  <si>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</si>
  <si>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</si>
  <si>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</si>
  <si>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</si>
  <si>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</si>
  <si>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</si>
  <si>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</si>
  <si>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</si>
  <si>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</si>
  <si>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</si>
  <si>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</si>
  <si>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</si>
  <si>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</si>
  <si>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</si>
  <si>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</si>
  <si>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</si>
  <si>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</si>
  <si>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</si>
  <si>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</si>
  <si>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</si>
  <si>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</si>
  <si>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</si>
  <si>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</si>
  <si>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</si>
  <si>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</si>
  <si>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</si>
  <si>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</si>
  <si>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</si>
  <si>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</si>
  <si>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</si>
  <si>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</si>
  <si>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</si>
  <si>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</si>
  <si>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</si>
  <si>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</si>
  <si>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</si>
  <si>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</si>
  <si>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</si>
  <si>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</si>
  <si>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</si>
  <si>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</si>
  <si>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</si>
  <si>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</si>
  <si>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</si>
  <si>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</si>
  <si>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</si>
  <si>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</si>
  <si>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</si>
  <si>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</si>
  <si>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</si>
  <si>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</si>
  <si>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</si>
  <si>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</si>
  <si>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</si>
  <si>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</si>
  <si>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</si>
  <si>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</si>
  <si>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</si>
  <si>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</si>
  <si>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</si>
  <si>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</si>
  <si>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</si>
  <si>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</si>
  <si>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</si>
  <si>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</si>
  <si>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</si>
  <si>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</si>
  <si>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</si>
  <si>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</si>
  <si>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</si>
  <si>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</si>
  <si>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</si>
  <si>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</si>
  <si>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</si>
  <si>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</si>
  <si>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</si>
  <si>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</si>
  <si>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</si>
  <si>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</si>
  <si>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</si>
  <si>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</si>
  <si>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</si>
  <si>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</si>
  <si>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</si>
  <si>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</si>
  <si>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</si>
  <si>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</si>
  <si>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</si>
  <si>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</si>
  <si>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</si>
  <si>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</si>
  <si>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</si>
  <si>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</si>
  <si>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</si>
  <si>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</si>
  <si>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</si>
  <si>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</si>
  <si>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</si>
  <si>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</si>
  <si>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</si>
  <si>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</si>
  <si>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</si>
  <si>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</si>
  <si>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</si>
  <si>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</si>
  <si>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</si>
  <si>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</si>
  <si>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</si>
  <si>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</si>
  <si>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</si>
  <si>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</si>
  <si>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</si>
  <si>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</si>
  <si>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</si>
  <si>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</si>
  <si>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</si>
  <si>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</si>
  <si>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</si>
  <si>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</si>
  <si>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</si>
  <si>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</si>
  <si>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</si>
  <si>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</si>
  <si>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</si>
  <si>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</si>
  <si>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</si>
  <si>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</si>
  <si>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</si>
  <si>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</si>
  <si>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</si>
  <si>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</si>
  <si>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</si>
  <si>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</si>
  <si>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</si>
  <si>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</si>
  <si>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</si>
  <si>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</si>
  <si>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</si>
  <si>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</si>
  <si>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</si>
  <si>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</si>
  <si>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</si>
  <si>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</si>
  <si>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</si>
  <si>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</si>
  <si>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</si>
  <si>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</si>
  <si>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</si>
  <si>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</si>
  <si>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</si>
  <si>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</si>
  <si>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</si>
  <si>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</si>
  <si>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</si>
  <si>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</si>
  <si>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</si>
  <si>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</si>
  <si>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</si>
  <si>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</si>
  <si>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</si>
  <si>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</si>
  <si>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</si>
  <si>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</si>
  <si>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</si>
  <si>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</si>
  <si>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</si>
  <si>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</si>
  <si>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</si>
  <si>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</si>
  <si>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</si>
  <si>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</si>
  <si>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</si>
  <si>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</si>
  <si>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</si>
  <si>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</si>
  <si>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</si>
  <si>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</si>
  <si>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</si>
  <si>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</si>
  <si>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</si>
  <si>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</si>
  <si>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</si>
  <si>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</si>
  <si>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</si>
  <si>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</si>
  <si>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</si>
  <si>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</si>
  <si>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</si>
  <si>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</si>
  <si>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</si>
  <si>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</si>
  <si>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</si>
  <si>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</si>
  <si>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</si>
  <si>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</si>
  <si>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</si>
  <si>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</si>
  <si>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</si>
  <si>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</si>
  <si>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</si>
  <si>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</si>
  <si>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</si>
  <si>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</si>
  <si>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</si>
  <si>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</si>
  <si>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</si>
  <si>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</si>
  <si>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</si>
  <si>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</si>
  <si>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</si>
  <si>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</si>
  <si>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</si>
  <si>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</si>
  <si>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</si>
  <si>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</si>
  <si>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</si>
  <si>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</si>
  <si>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</si>
  <si>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</si>
  <si>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</si>
  <si>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</si>
  <si>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</si>
  <si>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</si>
  <si>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</si>
  <si>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</si>
  <si>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</si>
  <si>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</si>
  <si>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</si>
  <si>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</si>
  <si>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</si>
  <si>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</si>
  <si>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</si>
  <si>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</si>
  <si>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</si>
  <si>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</si>
  <si>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</si>
  <si>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</si>
  <si>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</si>
  <si>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</si>
  <si>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</si>
  <si>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</si>
  <si>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</si>
  <si>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</si>
  <si>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</si>
  <si>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</si>
  <si>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</si>
  <si>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</si>
  <si>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</si>
  <si>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</si>
  <si>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</si>
  <si>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</si>
  <si>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</si>
  <si>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</si>
  <si>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</si>
  <si>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</si>
  <si>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</si>
  <si>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</si>
  <si>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</si>
  <si>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</si>
  <si>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</si>
  <si>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</si>
  <si>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</si>
  <si>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</si>
  <si>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</si>
  <si>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</si>
  <si>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</si>
  <si>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</si>
  <si>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</si>
  <si>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</si>
  <si>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</si>
  <si>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</si>
  <si>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</si>
  <si>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</si>
  <si>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</si>
  <si>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</si>
  <si>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</si>
  <si>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</si>
  <si>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</si>
  <si>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</si>
  <si>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</si>
  <si>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</si>
  <si>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</si>
  <si>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</si>
  <si>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</si>
  <si>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</si>
  <si>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</si>
  <si>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</si>
  <si>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</si>
  <si>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</si>
  <si>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</si>
  <si>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</si>
  <si>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</si>
  <si>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</si>
  <si>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</si>
  <si>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</si>
  <si>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</si>
  <si>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</si>
  <si>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</si>
  <si>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</si>
  <si>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</si>
  <si>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</si>
  <si>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</si>
  <si>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</si>
  <si>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</si>
  <si>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</si>
  <si>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</si>
  <si>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</si>
  <si>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</si>
  <si>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</si>
  <si>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</si>
  <si>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</si>
  <si>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</si>
  <si>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</si>
  <si>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</si>
  <si>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</si>
  <si>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</si>
  <si>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</si>
  <si>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</si>
  <si>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</si>
  <si>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</si>
  <si>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</si>
  <si>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</si>
  <si>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</si>
  <si>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</si>
  <si>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</si>
  <si>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</si>
  <si>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</si>
  <si>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</si>
  <si>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</si>
  <si>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</si>
  <si>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</si>
  <si>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</si>
  <si>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</si>
  <si>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</si>
  <si>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</si>
  <si>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</si>
  <si>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</si>
  <si>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</si>
  <si>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</si>
  <si>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</si>
  <si>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</si>
  <si>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</si>
  <si>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</si>
  <si>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</si>
  <si>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</si>
  <si>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</si>
  <si>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</si>
  <si>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</si>
  <si>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</si>
  <si>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</si>
  <si>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</si>
  <si>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</si>
  <si>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</si>
  <si>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</si>
  <si>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</si>
  <si>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</si>
  <si>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</si>
  <si>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</si>
  <si>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</si>
  <si>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</si>
  <si>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</si>
  <si>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</si>
  <si>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</si>
  <si>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</si>
  <si>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</si>
  <si>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</si>
  <si>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</si>
  <si>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</si>
  <si>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</si>
  <si>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</si>
  <si>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</si>
  <si>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</si>
  <si>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</si>
  <si>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</si>
  <si>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</si>
  <si>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</si>
  <si>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</si>
  <si>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</si>
  <si>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</si>
  <si>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</si>
  <si>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</si>
  <si>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</si>
  <si>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</si>
  <si>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</si>
  <si>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</si>
  <si>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</si>
  <si>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</si>
  <si>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</si>
  <si>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</si>
  <si>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</si>
  <si>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</si>
  <si>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</si>
  <si>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</si>
  <si>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</si>
  <si>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</si>
  <si>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</si>
  <si>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</si>
  <si>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</si>
  <si>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</si>
  <si>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</si>
  <si>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</si>
  <si>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</si>
  <si>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</si>
  <si>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</si>
  <si>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</si>
  <si>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</si>
  <si>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</si>
  <si>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</si>
  <si>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</si>
  <si>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</si>
  <si>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</si>
  <si>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</si>
  <si>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</si>
  <si>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</si>
  <si>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</si>
  <si>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</si>
  <si>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</si>
  <si>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</si>
  <si>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</si>
  <si>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</si>
  <si>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</si>
  <si>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</si>
  <si>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</si>
  <si>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</si>
  <si>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</si>
  <si>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</si>
  <si>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</si>
  <si>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</si>
  <si>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</si>
  <si>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</si>
  <si>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</si>
  <si>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</si>
  <si>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</si>
  <si>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</si>
  <si>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</si>
  <si>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</si>
  <si>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</si>
  <si>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</si>
  <si>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</si>
  <si>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</si>
  <si>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</si>
  <si>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</si>
  <si>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</si>
  <si>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</si>
  <si>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</si>
  <si>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</si>
  <si>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</si>
  <si>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</si>
  <si>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</si>
  <si>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</si>
  <si>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</si>
  <si>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</si>
  <si>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</si>
  <si>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</si>
  <si>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</si>
  <si>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</si>
  <si>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</si>
  <si>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</si>
  <si>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</si>
  <si>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</si>
  <si>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</si>
  <si>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</si>
  <si>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</si>
  <si>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</si>
  <si>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</si>
  <si>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</si>
  <si>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</si>
  <si>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</si>
  <si>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</si>
  <si>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</si>
  <si>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</si>
  <si>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</si>
  <si>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</si>
  <si>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</si>
  <si>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</si>
  <si>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</si>
  <si>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</si>
  <si>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</si>
  <si>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</si>
  <si>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</si>
  <si>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</si>
  <si>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</si>
  <si>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</si>
  <si>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</si>
  <si>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</si>
  <si>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</si>
  <si>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</si>
  <si>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</si>
  <si>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</si>
  <si>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</si>
  <si>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</si>
  <si>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</si>
  <si>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</si>
  <si>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</si>
  <si>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</si>
  <si>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</si>
  <si>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</si>
  <si>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</si>
  <si>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</si>
  <si>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</si>
  <si>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</si>
  <si>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</si>
  <si>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</si>
  <si>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</si>
  <si>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</si>
  <si>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</si>
  <si>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</si>
  <si>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</si>
  <si>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</si>
  <si>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</si>
  <si>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</si>
  <si>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</si>
  <si>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</si>
  <si>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</si>
  <si>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</si>
  <si>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</si>
  <si>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</si>
  <si>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</si>
  <si>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</si>
  <si>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</si>
  <si>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</si>
  <si>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</si>
  <si>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</si>
  <si>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</si>
  <si>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</si>
  <si>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</si>
  <si>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</si>
  <si>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</si>
  <si>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</si>
  <si>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</si>
  <si>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</si>
  <si>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</si>
  <si>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</si>
  <si>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</si>
  <si>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</si>
  <si>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</si>
  <si>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</si>
  <si>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</si>
  <si>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</si>
  <si>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</si>
  <si>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</si>
  <si>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</si>
  <si>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</si>
  <si>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</si>
  <si>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</si>
  <si>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</si>
  <si>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</si>
  <si>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</si>
  <si>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</si>
  <si>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</si>
  <si>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</si>
  <si>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</si>
  <si>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</si>
  <si>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</si>
  <si>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</si>
  <si>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</si>
  <si>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</si>
  <si>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</si>
  <si>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</si>
  <si>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</si>
  <si>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</si>
  <si>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</si>
  <si>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</si>
  <si>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</si>
  <si>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</si>
  <si>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</si>
  <si>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</si>
  <si>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</si>
  <si>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</si>
  <si>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</si>
  <si>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</si>
  <si>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</si>
  <si>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</si>
  <si>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</si>
  <si>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</si>
  <si>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</si>
  <si>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</si>
  <si>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</si>
  <si>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</si>
  <si>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</si>
  <si>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</si>
  <si>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</si>
  <si>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</si>
  <si>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</si>
  <si>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</si>
  <si>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</si>
  <si>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</si>
  <si>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</si>
  <si>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</si>
  <si>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</si>
  <si>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</si>
  <si>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</si>
  <si>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</si>
  <si>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</si>
  <si>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</si>
  <si>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</si>
  <si>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</si>
  <si>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</si>
  <si>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</si>
  <si>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</si>
  <si>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</si>
  <si>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</si>
  <si>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</si>
  <si>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</si>
  <si>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</si>
  <si>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</si>
  <si>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</si>
  <si>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</si>
  <si>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</si>
  <si>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</si>
  <si>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</si>
  <si>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</si>
  <si>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</si>
  <si>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</si>
  <si>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</si>
  <si>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</si>
  <si>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</si>
  <si>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</si>
  <si>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</si>
  <si>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</si>
  <si>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</si>
  <si>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</si>
  <si>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</si>
  <si>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</si>
  <si>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</si>
  <si>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</si>
  <si>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</si>
  <si>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</si>
  <si>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</si>
  <si>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</si>
  <si>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</si>
  <si>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</si>
  <si>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</si>
  <si>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</si>
  <si>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</si>
  <si>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</si>
  <si>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</si>
  <si>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</si>
  <si>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</si>
  <si>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</si>
  <si>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</si>
  <si>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</si>
  <si>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</si>
  <si>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</si>
  <si>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</si>
  <si>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</si>
  <si>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</si>
  <si>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</si>
  <si>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</si>
  <si>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</si>
  <si>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</si>
  <si>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</si>
  <si>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</si>
  <si>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</si>
  <si>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</si>
  <si>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</si>
  <si>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</si>
  <si>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</si>
  <si>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</si>
  <si>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</si>
  <si>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</si>
  <si>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</si>
  <si>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</si>
  <si>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</si>
  <si>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</si>
  <si>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</si>
  <si>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</si>
  <si>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</si>
  <si>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</si>
  <si>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</si>
  <si>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</si>
  <si>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</si>
  <si>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</si>
  <si>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</si>
  <si>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</si>
  <si>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</si>
  <si>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</si>
  <si>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</si>
  <si>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</si>
  <si>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</si>
  <si>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</si>
  <si>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</si>
  <si>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</si>
  <si>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</si>
  <si>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</si>
  <si>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</si>
  <si>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</si>
  <si>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</si>
  <si>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</si>
  <si>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</si>
  <si>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</si>
  <si>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</si>
  <si>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</si>
  <si>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</si>
  <si>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</si>
  <si>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</si>
  <si>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</si>
  <si>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</si>
  <si>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</si>
  <si>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</si>
  <si>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</si>
  <si>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</si>
  <si>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</si>
  <si>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</si>
  <si>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</si>
  <si>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</si>
  <si>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</si>
  <si>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</si>
  <si>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</si>
  <si>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</si>
  <si>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</si>
  <si>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</si>
  <si>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</si>
  <si>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</si>
  <si>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</si>
  <si>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</si>
  <si>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</si>
  <si>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</si>
  <si>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</si>
  <si>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</si>
  <si>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</si>
  <si>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</si>
  <si>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</si>
  <si>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</si>
  <si>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</si>
  <si>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</si>
  <si>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</si>
  <si>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</si>
  <si>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</si>
  <si>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</si>
  <si>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</si>
  <si>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</si>
  <si>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</si>
  <si>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</si>
  <si>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</si>
  <si>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</si>
  <si>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</si>
  <si>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</si>
  <si>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</si>
  <si>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</si>
  <si>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</si>
  <si>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</si>
  <si>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</si>
  <si>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</si>
  <si>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</si>
  <si>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</si>
  <si>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</si>
  <si>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</si>
  <si>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</si>
  <si>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</si>
  <si>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</si>
  <si>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</si>
  <si>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</si>
  <si>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</si>
  <si>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</si>
  <si>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</si>
  <si>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</si>
  <si>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</si>
  <si>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</si>
  <si>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</si>
  <si>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</si>
  <si>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</si>
  <si>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</si>
  <si>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</si>
  <si>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</si>
  <si>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</si>
  <si>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</si>
  <si>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</si>
  <si>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</si>
  <si>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</si>
  <si>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</si>
  <si>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</si>
  <si>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</si>
  <si>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</si>
  <si>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</si>
  <si>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</si>
  <si>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</si>
  <si>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</si>
  <si>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</si>
  <si>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</si>
  <si>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</si>
  <si>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</si>
  <si>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</si>
  <si>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</si>
  <si>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</si>
  <si>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</si>
  <si>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</si>
  <si>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</si>
  <si>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</si>
  <si>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</si>
  <si>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</si>
  <si>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</si>
  <si>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</si>
  <si>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</si>
  <si>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</si>
  <si>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</si>
  <si>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</si>
  <si>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</si>
  <si>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</si>
  <si>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</si>
  <si>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</si>
  <si>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</si>
  <si>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</si>
  <si>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</si>
  <si>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</si>
  <si>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</si>
  <si>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</si>
  <si>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</si>
  <si>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</si>
  <si>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</si>
  <si>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</si>
  <si>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</si>
  <si>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</si>
  <si>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</si>
  <si>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</si>
  <si>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</si>
  <si>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</si>
  <si>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</si>
  <si>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</si>
  <si>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</si>
  <si>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</si>
  <si>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</si>
  <si>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</si>
  <si>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</si>
  <si>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</si>
  <si>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</si>
  <si>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</si>
  <si>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</si>
  <si>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</si>
  <si>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</si>
  <si>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</si>
  <si>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</si>
  <si>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</si>
  <si>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</si>
  <si>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</si>
  <si>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</si>
  <si>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</si>
  <si>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</si>
  <si>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</si>
  <si>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</si>
  <si>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</si>
  <si>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</si>
  <si>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</si>
  <si>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</si>
  <si>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</si>
  <si>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</si>
  <si>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</si>
  <si>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</si>
  <si>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</si>
  <si>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</si>
  <si>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</si>
  <si>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</si>
  <si>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</si>
  <si>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</si>
  <si>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</si>
  <si>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</si>
  <si>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</si>
  <si>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</si>
  <si>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</si>
  <si>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</si>
  <si>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</si>
  <si>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</si>
  <si>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</si>
  <si>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</si>
  <si>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</si>
  <si>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</si>
  <si>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</si>
  <si>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</si>
  <si>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</si>
  <si>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</si>
  <si>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</si>
  <si>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</si>
  <si>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</si>
  <si>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</si>
  <si>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</si>
  <si>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</si>
  <si>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</si>
  <si>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</si>
  <si>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</si>
  <si>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</si>
  <si>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</si>
  <si>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</si>
  <si>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</si>
  <si>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</si>
  <si>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</si>
  <si>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</si>
  <si>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</si>
  <si>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</si>
  <si>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</si>
  <si>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</si>
  <si>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</si>
  <si>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</si>
  <si>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</si>
  <si>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</si>
  <si>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</si>
  <si>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</si>
  <si>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</si>
  <si>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</si>
  <si>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</si>
  <si>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</si>
  <si>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</si>
  <si>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</si>
  <si>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</si>
  <si>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</si>
  <si>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</si>
  <si>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</si>
  <si>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</si>
  <si>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</si>
  <si>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</si>
  <si>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</si>
  <si>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</si>
  <si>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</si>
  <si>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</si>
  <si>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</si>
  <si>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</si>
  <si>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</si>
  <si>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</si>
  <si>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</si>
  <si>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</si>
  <si>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</si>
  <si>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</si>
  <si>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</si>
  <si>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</si>
  <si>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</si>
  <si>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</si>
  <si>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</si>
  <si>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</si>
  <si>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</si>
  <si>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</si>
  <si>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</si>
  <si>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</si>
  <si>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</si>
  <si>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</si>
  <si>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</si>
  <si>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</si>
  <si>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</si>
  <si>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</si>
  <si>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</si>
  <si>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</si>
  <si>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</si>
  <si>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</si>
  <si>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</si>
  <si>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</si>
  <si>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</si>
  <si>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</si>
  <si>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</si>
  <si>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</si>
  <si>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</si>
  <si>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</si>
  <si>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</si>
  <si>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</si>
  <si>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</si>
  <si>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</si>
  <si>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</si>
  <si>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</si>
  <si>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</si>
  <si>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</si>
  <si>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</si>
  <si>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</si>
  <si>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</si>
  <si>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</si>
  <si>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</si>
  <si>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</si>
  <si>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</si>
  <si>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</si>
  <si>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</si>
  <si>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</si>
  <si>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</si>
  <si>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</si>
  <si>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</si>
  <si>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</si>
  <si>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</si>
  <si>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</si>
  <si>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</si>
  <si>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</si>
  <si>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</si>
  <si>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</si>
  <si>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</si>
  <si>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</si>
  <si>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</si>
  <si>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</si>
  <si>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</si>
  <si>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</si>
  <si>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</si>
  <si>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</si>
  <si>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</si>
  <si>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</si>
  <si>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</si>
  <si>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</si>
  <si>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</si>
  <si>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</si>
  <si>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</si>
  <si>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</si>
  <si>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</si>
  <si>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</si>
  <si>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</si>
  <si>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</si>
  <si>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</si>
  <si>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</si>
  <si>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</si>
  <si>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</si>
  <si>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</si>
  <si>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</si>
  <si>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</si>
  <si>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</si>
  <si>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</si>
  <si>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</si>
  <si>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</si>
  <si>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</si>
  <si>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</si>
  <si>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</si>
  <si>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</si>
  <si>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</si>
  <si>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</si>
  <si>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</si>
  <si>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</si>
  <si>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</si>
  <si>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</si>
  <si>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</si>
  <si>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</si>
  <si>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</si>
  <si>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</si>
  <si>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</si>
  <si>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</si>
  <si>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</si>
  <si>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</si>
  <si>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</si>
  <si>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</si>
  <si>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</si>
  <si>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</si>
  <si>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</si>
  <si>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</si>
  <si>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</si>
  <si>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</si>
  <si>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</si>
  <si>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</si>
  <si>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</si>
  <si>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</si>
  <si>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</si>
  <si>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</si>
  <si>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</si>
  <si>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</si>
  <si>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</si>
  <si>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</si>
  <si>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</si>
  <si>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</si>
  <si>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</si>
  <si>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</si>
  <si>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</si>
  <si>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</si>
  <si>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</si>
  <si>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</si>
  <si>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</si>
  <si>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</si>
  <si>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</si>
  <si>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</si>
  <si>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</si>
  <si>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</si>
  <si>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</si>
  <si>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</si>
  <si>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</si>
  <si>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</si>
  <si>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</si>
  <si>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</si>
  <si>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</si>
  <si>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</si>
  <si>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</si>
  <si>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</si>
  <si>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</si>
  <si>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</si>
  <si>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</si>
  <si>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</si>
  <si>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</si>
  <si>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</si>
  <si>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</si>
  <si>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</si>
  <si>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</si>
  <si>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</si>
  <si>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</si>
  <si>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</si>
  <si>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</si>
  <si>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</si>
  <si>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</si>
  <si>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</si>
  <si>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</si>
  <si>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</si>
  <si>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</si>
  <si>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</si>
  <si>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</si>
  <si>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</si>
  <si>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</si>
  <si>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</si>
  <si>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</si>
  <si>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</si>
  <si>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</si>
  <si>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</si>
  <si>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</si>
  <si>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</si>
  <si>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</si>
  <si>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</si>
  <si>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</si>
  <si>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</si>
  <si>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</si>
  <si>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</si>
  <si>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</si>
  <si>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</si>
  <si>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</si>
  <si>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</si>
  <si>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</si>
  <si>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</si>
  <si>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</si>
  <si>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</si>
  <si>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</si>
  <si>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</si>
  <si>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</si>
  <si>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</si>
  <si>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</si>
  <si>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</si>
  <si>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</si>
  <si>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</si>
  <si>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</si>
  <si>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</si>
  <si>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</si>
  <si>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</si>
  <si>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</si>
  <si>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</si>
  <si>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</si>
  <si>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</si>
  <si>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</si>
  <si>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</si>
  <si>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</si>
  <si>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</si>
  <si>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</si>
  <si>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</si>
  <si>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</si>
  <si>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</si>
  <si>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</si>
  <si>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</si>
  <si>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</si>
  <si>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</si>
  <si>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</si>
  <si>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</si>
  <si>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</si>
  <si>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</si>
  <si>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</si>
  <si>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</si>
  <si>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</si>
  <si>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</si>
  <si>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</si>
  <si>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</si>
  <si>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</si>
  <si>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</si>
  <si>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</si>
  <si>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</si>
  <si>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</si>
  <si>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</si>
  <si>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</si>
  <si>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</si>
  <si>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</si>
  <si>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</si>
  <si>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</si>
  <si>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</si>
  <si>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</si>
  <si>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</si>
  <si>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</si>
  <si>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</si>
  <si>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</si>
  <si>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</si>
  <si>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</si>
  <si>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</si>
  <si>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</si>
  <si>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</si>
  <si>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</si>
  <si>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</si>
  <si>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</si>
  <si>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</si>
  <si>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</si>
  <si>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</si>
  <si>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</si>
  <si>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</si>
  <si>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</si>
  <si>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</si>
  <si>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</si>
  <si>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</si>
  <si>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</si>
  <si>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</si>
  <si>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</si>
  <si>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</si>
  <si>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</si>
  <si>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</si>
  <si>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</si>
  <si>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</si>
  <si>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</si>
  <si>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</si>
  <si>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</si>
  <si>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</si>
  <si>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</si>
  <si>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</si>
  <si>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</si>
  <si>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</si>
  <si>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</si>
  <si>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</si>
  <si>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</si>
  <si>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</si>
  <si>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</si>
  <si>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</si>
  <si>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</si>
  <si>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</si>
  <si>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</si>
  <si>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</si>
  <si>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</si>
  <si>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</si>
  <si>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</si>
  <si>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</si>
  <si>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</si>
  <si>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</si>
  <si>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Africa Total</t>
  </si>
  <si>
    <t>North America Total</t>
  </si>
  <si>
    <t>Europe Total</t>
  </si>
  <si>
    <t>Asia-Pacific Total</t>
  </si>
  <si>
    <t>South America Total</t>
  </si>
  <si>
    <t>(All)</t>
  </si>
  <si>
    <t>Row Labels</t>
  </si>
  <si>
    <t>Sum of Profit</t>
  </si>
  <si>
    <t>Sum of Revenue</t>
  </si>
  <si>
    <t>Sum of Expenses</t>
  </si>
  <si>
    <t>Count of Transaction_ID</t>
  </si>
  <si>
    <t>Average of Expenses</t>
  </si>
  <si>
    <t>Sales and Profit Insights Dashboard (Excel)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</si>
</sst>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6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000000"/>
      <color rgb="FF76C2E0"/>
      <color rgb="FFEBBA6B"/>
      <color rgb="FFA396D2"/>
      <color rgb="FFE19F33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1!PivotTable5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Profit By 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A396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396D2"/>
          </a:solidFill>
          <a:ln>
            <a:noFill/>
          </a:ln>
          <a:effectLst/>
        </c:spPr>
      </c:pivotFmt>
      <c:pivotFmt>
        <c:idx val="2"/>
        <c:spPr>
          <a:solidFill>
            <a:srgbClr val="A396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396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396D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7-4569-B67A-46EFBE5300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2518160"/>
        <c:axId val="1472515280"/>
      </c:barChart>
      <c:catAx>
        <c:axId val="1472518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515280"/>
        <c:crosses val="autoZero"/>
        <c:auto val="1"/>
        <c:lblAlgn val="ctr"/>
        <c:lblOffset val="100"/>
        <c:noMultiLvlLbl val="0"/>
      </c:catAx>
      <c:valAx>
        <c:axId val="1472515280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47251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2!PivotTable6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Revenue By Product Line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BBA6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BBA6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BBA6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BBA6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0-4B1F-84CD-348DBE81B6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9606096"/>
        <c:axId val="1969593616"/>
      </c:barChart>
      <c:catAx>
        <c:axId val="19696060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93616"/>
        <c:crosses val="autoZero"/>
        <c:auto val="1"/>
        <c:lblAlgn val="ctr"/>
        <c:lblOffset val="100"/>
        <c:noMultiLvlLbl val="0"/>
      </c:catAx>
      <c:valAx>
        <c:axId val="1969593616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96960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3!PivotTable7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>
                <a:solidFill>
                  <a:schemeClr val="tx1"/>
                </a:solidFill>
              </a:rPr>
              <a:t>Total Revenue/Expense 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8B-49C3-9369-2051AF6FA212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8B-49C3-9369-2051AF6FA212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8B-49C3-9369-2051AF6FA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9604656"/>
        <c:axId val="1969605136"/>
      </c:lineChart>
      <c:catAx>
        <c:axId val="196960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605136"/>
        <c:crosses val="autoZero"/>
        <c:auto val="1"/>
        <c:lblAlgn val="ctr"/>
        <c:lblOffset val="100"/>
        <c:noMultiLvlLbl val="0"/>
      </c:catAx>
      <c:valAx>
        <c:axId val="1969605136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60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4!PivotTable8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1" u="sng">
                <a:solidFill>
                  <a:schemeClr val="tx1"/>
                </a:solidFill>
              </a:rPr>
              <a:t>Number</a:t>
            </a:r>
            <a:r>
              <a:rPr lang="en-US" sz="2000" b="1" i="1" u="sng" baseline="0">
                <a:solidFill>
                  <a:schemeClr val="tx1"/>
                </a:solidFill>
              </a:rPr>
              <a:t> of Transactions by Region</a:t>
            </a:r>
            <a:endParaRPr lang="en-US" sz="20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6C2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76C2E0"/>
          </a:solidFill>
          <a:ln>
            <a:noFill/>
          </a:ln>
          <a:effectLst/>
        </c:spPr>
        <c:dLbl>
          <c:idx val="0"/>
          <c:layout>
            <c:manualLayout>
              <c:x val="9.2139595564253093E-2"/>
              <c:y val="-0.372400224845418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178208032215153"/>
                  <c:h val="3.968964250463633E-2"/>
                </c:manualLayout>
              </c15:layout>
            </c:ext>
          </c:extLst>
        </c:dLbl>
      </c:pivotFmt>
      <c:pivotFmt>
        <c:idx val="2"/>
        <c:spPr>
          <a:solidFill>
            <a:srgbClr val="76C2E0"/>
          </a:solidFill>
          <a:ln>
            <a:noFill/>
          </a:ln>
          <a:effectLst/>
        </c:spPr>
        <c:dLbl>
          <c:idx val="0"/>
          <c:layout>
            <c:manualLayout>
              <c:x val="5.2185257664709717E-2"/>
              <c:y val="-0.1995503091624508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76C2E0"/>
          </a:solidFill>
          <a:ln>
            <a:noFill/>
          </a:ln>
          <a:effectLst/>
        </c:spPr>
        <c:dLbl>
          <c:idx val="0"/>
          <c:layout>
            <c:manualLayout>
              <c:x val="4.0769732550554411E-2"/>
              <c:y val="-0.2360876897133219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76C2E0"/>
          </a:solidFill>
          <a:ln>
            <a:noFill/>
          </a:ln>
          <a:effectLst/>
        </c:spPr>
        <c:dLbl>
          <c:idx val="0"/>
          <c:layout>
            <c:manualLayout>
              <c:x val="7.3385518590998039E-2"/>
              <c:y val="-0.2529510961214165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76C2E0"/>
          </a:solidFill>
          <a:ln>
            <a:noFill/>
          </a:ln>
          <a:effectLst/>
        </c:spPr>
        <c:dLbl>
          <c:idx val="0"/>
          <c:layout>
            <c:manualLayout>
              <c:x val="-4.8923679060666556E-3"/>
              <c:y val="-0.1883080382237211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76C2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76C2E0"/>
          </a:solidFill>
          <a:ln>
            <a:noFill/>
          </a:ln>
          <a:effectLst/>
        </c:spPr>
        <c:dLbl>
          <c:idx val="0"/>
          <c:layout>
            <c:manualLayout>
              <c:x val="9.2139595564253093E-2"/>
              <c:y val="-0.372400224845418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178208032215153"/>
                  <c:h val="3.968964250463633E-2"/>
                </c:manualLayout>
              </c15:layout>
            </c:ext>
          </c:extLst>
        </c:dLbl>
      </c:pivotFmt>
      <c:pivotFmt>
        <c:idx val="8"/>
        <c:spPr>
          <a:solidFill>
            <a:srgbClr val="76C2E0"/>
          </a:solidFill>
          <a:ln>
            <a:noFill/>
          </a:ln>
          <a:effectLst/>
        </c:spPr>
        <c:dLbl>
          <c:idx val="0"/>
          <c:layout>
            <c:manualLayout>
              <c:x val="5.2185257664709717E-2"/>
              <c:y val="-0.1995503091624508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76C2E0"/>
          </a:solidFill>
          <a:ln>
            <a:noFill/>
          </a:ln>
          <a:effectLst/>
        </c:spPr>
        <c:dLbl>
          <c:idx val="0"/>
          <c:layout>
            <c:manualLayout>
              <c:x val="4.0769732550554411E-2"/>
              <c:y val="-0.2360876897133219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76C2E0"/>
          </a:solidFill>
          <a:ln>
            <a:noFill/>
          </a:ln>
          <a:effectLst/>
        </c:spPr>
        <c:dLbl>
          <c:idx val="0"/>
          <c:layout>
            <c:manualLayout>
              <c:x val="7.3385518590998039E-2"/>
              <c:y val="-0.2529510961214165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rgbClr val="76C2E0"/>
          </a:solidFill>
          <a:ln>
            <a:noFill/>
          </a:ln>
          <a:effectLst/>
        </c:spPr>
        <c:dLbl>
          <c:idx val="0"/>
          <c:layout>
            <c:manualLayout>
              <c:x val="-4.8923679060666556E-3"/>
              <c:y val="-0.1883080382237211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rgbClr val="76C2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rgbClr val="76C2E0"/>
          </a:solidFill>
          <a:ln>
            <a:noFill/>
          </a:ln>
          <a:effectLst/>
        </c:spPr>
        <c:dLbl>
          <c:idx val="0"/>
          <c:layout>
            <c:manualLayout>
              <c:x val="9.2139595564253093E-2"/>
              <c:y val="-0.372400224845418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178208032215153"/>
                  <c:h val="3.968964250463633E-2"/>
                </c:manualLayout>
              </c15:layout>
            </c:ext>
          </c:extLst>
        </c:dLbl>
      </c:pivotFmt>
      <c:pivotFmt>
        <c:idx val="14"/>
        <c:spPr>
          <a:solidFill>
            <a:srgbClr val="76C2E0"/>
          </a:solidFill>
          <a:ln>
            <a:noFill/>
          </a:ln>
          <a:effectLst/>
        </c:spPr>
        <c:dLbl>
          <c:idx val="0"/>
          <c:layout>
            <c:manualLayout>
              <c:x val="5.2185257664709717E-2"/>
              <c:y val="-0.1995503091624508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rgbClr val="76C2E0"/>
          </a:solidFill>
          <a:ln>
            <a:noFill/>
          </a:ln>
          <a:effectLst/>
        </c:spPr>
        <c:dLbl>
          <c:idx val="0"/>
          <c:layout>
            <c:manualLayout>
              <c:x val="4.0769732550554411E-2"/>
              <c:y val="-0.2360876897133219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rgbClr val="76C2E0"/>
          </a:solidFill>
          <a:ln>
            <a:noFill/>
          </a:ln>
          <a:effectLst/>
        </c:spPr>
        <c:dLbl>
          <c:idx val="0"/>
          <c:layout>
            <c:manualLayout>
              <c:x val="7.3385518590998039E-2"/>
              <c:y val="-0.2529510961214165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rgbClr val="76C2E0"/>
          </a:solidFill>
          <a:ln>
            <a:noFill/>
          </a:ln>
          <a:effectLst/>
        </c:spPr>
        <c:dLbl>
          <c:idx val="0"/>
          <c:layout>
            <c:manualLayout>
              <c:x val="-4.8923679060666556E-3"/>
              <c:y val="-0.1883080382237211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6C2E0"/>
            </a:soli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74C-4AAD-91C0-9406183FA05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274C-4AAD-91C0-9406183FA05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274C-4AAD-91C0-9406183FA05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274C-4AAD-91C0-9406183FA05D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274C-4AAD-91C0-9406183FA05D}"/>
              </c:ext>
            </c:extLst>
          </c:dPt>
          <c:dLbls>
            <c:dLbl>
              <c:idx val="0"/>
              <c:layout>
                <c:manualLayout>
                  <c:x val="9.2139595564253093E-2"/>
                  <c:y val="-0.37240022484541879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2178208032215153"/>
                      <c:h val="3.96896425046363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274C-4AAD-91C0-9406183FA05D}"/>
                </c:ext>
              </c:extLst>
            </c:dLbl>
            <c:dLbl>
              <c:idx val="1"/>
              <c:layout>
                <c:manualLayout>
                  <c:x val="5.2185257664709717E-2"/>
                  <c:y val="-0.1995503091624508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4C-4AAD-91C0-9406183FA05D}"/>
                </c:ext>
              </c:extLst>
            </c:dLbl>
            <c:dLbl>
              <c:idx val="2"/>
              <c:layout>
                <c:manualLayout>
                  <c:x val="4.0769732550554411E-2"/>
                  <c:y val="-0.2360876897133219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4C-4AAD-91C0-9406183FA05D}"/>
                </c:ext>
              </c:extLst>
            </c:dLbl>
            <c:dLbl>
              <c:idx val="3"/>
              <c:layout>
                <c:manualLayout>
                  <c:x val="7.3385518590998039E-2"/>
                  <c:y val="-0.2529510961214165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4C-4AAD-91C0-9406183FA05D}"/>
                </c:ext>
              </c:extLst>
            </c:dLbl>
            <c:dLbl>
              <c:idx val="4"/>
              <c:layout>
                <c:manualLayout>
                  <c:x val="-4.8923679060666556E-3"/>
                  <c:y val="-0.1883080382237211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74C-4AAD-91C0-9406183FA05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4C-4AAD-91C0-9406183FA0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729094928"/>
        <c:axId val="1729095408"/>
      </c:areaChart>
      <c:catAx>
        <c:axId val="172909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095408"/>
        <c:crosses val="autoZero"/>
        <c:auto val="1"/>
        <c:lblAlgn val="ctr"/>
        <c:lblOffset val="100"/>
        <c:noMultiLvlLbl val="0"/>
      </c:catAx>
      <c:valAx>
        <c:axId val="1729095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29094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5!PivotTable9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 Expenses</a:t>
            </a:r>
            <a:r>
              <a:rPr lang="en-US" b="1" i="1" u="sng" baseline="0">
                <a:solidFill>
                  <a:schemeClr val="tx1"/>
                </a:solidFill>
              </a:rPr>
              <a:t> for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46-48D5-B628-1EEA8E2587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46-48D5-B628-1EEA8E2587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46-48D5-B628-1EEA8E2587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46-48D5-B628-1EEA8E2587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746-48D5-B628-1EEA8E2587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746-48D5-B628-1EEA8E25870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746-48D5-B628-1EEA8E258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Profit By 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A396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396D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396D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E-4605-A370-67EA876B91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2518160"/>
        <c:axId val="1472515280"/>
      </c:barChart>
      <c:catAx>
        <c:axId val="1472518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515280"/>
        <c:crosses val="autoZero"/>
        <c:auto val="1"/>
        <c:lblAlgn val="ctr"/>
        <c:lblOffset val="100"/>
        <c:noMultiLvlLbl val="0"/>
      </c:catAx>
      <c:valAx>
        <c:axId val="1472515280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47251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Revenue By Product Line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BBA6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BBA6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C-4BC5-987E-E8C5065536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9606096"/>
        <c:axId val="1969593616"/>
      </c:barChart>
      <c:catAx>
        <c:axId val="19696060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93616"/>
        <c:crosses val="autoZero"/>
        <c:auto val="1"/>
        <c:lblAlgn val="ctr"/>
        <c:lblOffset val="100"/>
        <c:noMultiLvlLbl val="0"/>
      </c:catAx>
      <c:valAx>
        <c:axId val="1969593616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96960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3!PivotTable7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>
                <a:solidFill>
                  <a:schemeClr val="tx1"/>
                </a:solidFill>
              </a:rPr>
              <a:t>Total Revenue/Expense 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2E-4249-8C29-B6FDEE9864A8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2E-4249-8C29-B6FDEE9864A8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2E-4249-8C29-B6FDEE986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9604656"/>
        <c:axId val="1969605136"/>
      </c:lineChart>
      <c:catAx>
        <c:axId val="196960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605136"/>
        <c:crosses val="autoZero"/>
        <c:auto val="1"/>
        <c:lblAlgn val="ctr"/>
        <c:lblOffset val="100"/>
        <c:noMultiLvlLbl val="0"/>
      </c:catAx>
      <c:valAx>
        <c:axId val="1969605136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60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4!PivotTable8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1" u="sng">
                <a:solidFill>
                  <a:schemeClr val="tx1"/>
                </a:solidFill>
              </a:rPr>
              <a:t>Number</a:t>
            </a:r>
            <a:r>
              <a:rPr lang="en-US" sz="2000" b="1" i="1" u="sng" baseline="0">
                <a:solidFill>
                  <a:schemeClr val="tx1"/>
                </a:solidFill>
              </a:rPr>
              <a:t> of Transactions by Region</a:t>
            </a:r>
            <a:endParaRPr lang="en-US" sz="20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6C2E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76C2E0"/>
          </a:solidFill>
          <a:ln>
            <a:noFill/>
          </a:ln>
          <a:effectLst/>
        </c:spPr>
        <c:dLbl>
          <c:idx val="0"/>
          <c:layout>
            <c:manualLayout>
              <c:x val="9.2139595564253093E-2"/>
              <c:y val="-0.372400224845418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178208032215153"/>
                  <c:h val="3.968964250463633E-2"/>
                </c:manualLayout>
              </c15:layout>
            </c:ext>
          </c:extLst>
        </c:dLbl>
      </c:pivotFmt>
      <c:pivotFmt>
        <c:idx val="2"/>
        <c:spPr>
          <a:solidFill>
            <a:srgbClr val="76C2E0"/>
          </a:solidFill>
          <a:ln>
            <a:noFill/>
          </a:ln>
          <a:effectLst/>
        </c:spPr>
        <c:dLbl>
          <c:idx val="0"/>
          <c:layout>
            <c:manualLayout>
              <c:x val="5.2185257664709717E-2"/>
              <c:y val="-0.1995503091624508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76C2E0"/>
          </a:solidFill>
          <a:ln>
            <a:noFill/>
          </a:ln>
          <a:effectLst/>
        </c:spPr>
        <c:dLbl>
          <c:idx val="0"/>
          <c:layout>
            <c:manualLayout>
              <c:x val="4.0769732550554411E-2"/>
              <c:y val="-0.2360876897133219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76C2E0"/>
          </a:solidFill>
          <a:ln>
            <a:noFill/>
          </a:ln>
          <a:effectLst/>
        </c:spPr>
        <c:dLbl>
          <c:idx val="0"/>
          <c:layout>
            <c:manualLayout>
              <c:x val="7.3385518590998039E-2"/>
              <c:y val="-0.2529510961214165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76C2E0"/>
          </a:solidFill>
          <a:ln>
            <a:noFill/>
          </a:ln>
          <a:effectLst/>
        </c:spPr>
        <c:dLbl>
          <c:idx val="0"/>
          <c:layout>
            <c:manualLayout>
              <c:x val="-4.8923679060666556E-3"/>
              <c:y val="-0.1883080382237211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6C2E0"/>
            </a:soli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EEB0-4802-BC84-EBE4627C168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EEB0-4802-BC84-EBE4627C168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EEB0-4802-BC84-EBE4627C1683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EEB0-4802-BC84-EBE4627C1683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EEB0-4802-BC84-EBE4627C1683}"/>
              </c:ext>
            </c:extLst>
          </c:dPt>
          <c:dLbls>
            <c:dLbl>
              <c:idx val="0"/>
              <c:layout>
                <c:manualLayout>
                  <c:x val="9.2139595564253093E-2"/>
                  <c:y val="-0.37240022484541879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2178208032215153"/>
                      <c:h val="3.96896425046363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EEB0-4802-BC84-EBE4627C1683}"/>
                </c:ext>
              </c:extLst>
            </c:dLbl>
            <c:dLbl>
              <c:idx val="1"/>
              <c:layout>
                <c:manualLayout>
                  <c:x val="5.2185257664709717E-2"/>
                  <c:y val="-0.1995503091624508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B0-4802-BC84-EBE4627C1683}"/>
                </c:ext>
              </c:extLst>
            </c:dLbl>
            <c:dLbl>
              <c:idx val="2"/>
              <c:layout>
                <c:manualLayout>
                  <c:x val="4.0769732550554411E-2"/>
                  <c:y val="-0.2360876897133219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EB0-4802-BC84-EBE4627C1683}"/>
                </c:ext>
              </c:extLst>
            </c:dLbl>
            <c:dLbl>
              <c:idx val="3"/>
              <c:layout>
                <c:manualLayout>
                  <c:x val="7.3385518590998039E-2"/>
                  <c:y val="-0.2529510961214165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B0-4802-BC84-EBE4627C1683}"/>
                </c:ext>
              </c:extLst>
            </c:dLbl>
            <c:dLbl>
              <c:idx val="4"/>
              <c:layout>
                <c:manualLayout>
                  <c:x val="-4.8923679060666556E-3"/>
                  <c:y val="-0.1883080382237211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EB0-4802-BC84-EBE4627C168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0-4802-BC84-EBE4627C16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729094928"/>
        <c:axId val="1729095408"/>
      </c:areaChart>
      <c:catAx>
        <c:axId val="172909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095408"/>
        <c:crosses val="autoZero"/>
        <c:auto val="1"/>
        <c:lblAlgn val="ctr"/>
        <c:lblOffset val="100"/>
        <c:noMultiLvlLbl val="0"/>
      </c:catAx>
      <c:valAx>
        <c:axId val="1729095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29094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5!PivotTable9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 Expenses</a:t>
            </a:r>
            <a:r>
              <a:rPr lang="en-US" b="1" i="1" u="sng" baseline="0">
                <a:solidFill>
                  <a:schemeClr val="tx1"/>
                </a:solidFill>
              </a:rPr>
              <a:t> for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312-4924-8AD2-B30FCF3A18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C7-4CED-A142-2816C4F65E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C7-4CED-A142-2816C4F65E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AC7-4CED-A142-2816C4F65E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AC7-4CED-A142-2816C4F65E7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12-4924-8AD2-B30FCF3A180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2-4924-8AD2-B30FCF3A1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5</xdr:row>
      <xdr:rowOff>186446</xdr:rowOff>
    </xdr:from>
    <xdr:to>
      <xdr:col>8</xdr:col>
      <xdr:colOff>145916</xdr:colOff>
      <xdr:row>20</xdr:row>
      <xdr:rowOff>129701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B926D-596B-416B-AF18-BBB7FC664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425665</xdr:colOff>
      <xdr:row>6</xdr:row>
      <xdr:rowOff>15578</xdr:rowOff>
    </xdr:from>
    <xdr:to>
      <xdr:col>15</xdr:col>
      <xdr:colOff>429638</xdr:colOff>
      <xdr:row>20</xdr:row>
      <xdr:rowOff>145915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79A907-6316-4DE3-AC70-F1E1648D23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121598</xdr:colOff>
      <xdr:row>6</xdr:row>
      <xdr:rowOff>8106</xdr:rowOff>
    </xdr:from>
    <xdr:to>
      <xdr:col>23</xdr:col>
      <xdr:colOff>8107</xdr:colOff>
      <xdr:row>20</xdr:row>
      <xdr:rowOff>129702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26D24D-7DBC-4388-8A04-B2087D26A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11</xdr:col>
      <xdr:colOff>105383</xdr:colOff>
      <xdr:row>39</xdr:row>
      <xdr:rowOff>154021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DC256B-995C-4959-A031-291CA06511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22</xdr:row>
      <xdr:rowOff>0</xdr:rowOff>
    </xdr:from>
    <xdr:to>
      <xdr:col>23</xdr:col>
      <xdr:colOff>24319</xdr:colOff>
      <xdr:row>39</xdr:row>
      <xdr:rowOff>113489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62131A-2F55-422B-B744-46A55464D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</xdr:row>
      <xdr:rowOff>7620</xdr:rowOff>
    </xdr:from>
    <xdr:to>
      <xdr:col>11</xdr:col>
      <xdr:colOff>388620</xdr:colOff>
      <xdr:row>21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738A49-243C-FB62-6D7B-6BC792B48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228599</xdr:colOff>
      <xdr:row>3</xdr:row>
      <xdr:rowOff>95250</xdr:rowOff>
    </xdr:from>
    <xdr:to>
      <xdr:col>9</xdr:col>
      <xdr:colOff>533399</xdr:colOff>
      <xdr:row>18</xdr:row>
      <xdr:rowOff>62592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9B1767-95BF-FECC-6806-AD9F1A998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518160</xdr:colOff>
      <xdr:row>1</xdr:row>
      <xdr:rowOff>0</xdr:rowOff>
    </xdr:from>
    <xdr:to>
      <xdr:col>19</xdr:col>
      <xdr:colOff>411480</xdr:colOff>
      <xdr:row>26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E0E3EA-4CA0-AF96-AE21-292D6EBE8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</xdr:colOff>
      <xdr:row>1</xdr:row>
      <xdr:rowOff>175260</xdr:rowOff>
    </xdr:from>
    <xdr:to>
      <xdr:col>15</xdr:col>
      <xdr:colOff>259080</xdr:colOff>
      <xdr:row>26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295466-FBE6-9E88-00ED-5FE54E987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302173</xdr:colOff>
      <xdr:row>1</xdr:row>
      <xdr:rowOff>98533</xdr:rowOff>
    </xdr:from>
    <xdr:to>
      <xdr:col>15</xdr:col>
      <xdr:colOff>105383</xdr:colOff>
      <xdr:row>25</xdr:row>
      <xdr:rowOff>24319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6E0075-2C23-0869-44B3-C29FCD55C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windsouza ." refreshedDate="45906.663912152777" createdVersion="8" refreshedVersion="8" minRefreshableVersion="3" recordCount="2000" xr:uid="{7498B4B5-70EB-4F40-8618-79CACF130641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B9F93-0636-47B7-8295-38CC97E5FC9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6:C47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x="2"/>
        <item x="3"/>
      </items>
    </pivotField>
    <pivotField compact="0" numFmtId="9" outline="0" showAll="0" defaultSubtotal="0"/>
  </pivotFields>
  <rowFields count="2">
    <field x="6"/>
    <field x="8"/>
  </rowFields>
  <rowItems count="31">
    <i>
      <x/>
      <x/>
    </i>
    <i r="1">
      <x v="1"/>
    </i>
    <i r="1">
      <x v="2"/>
    </i>
    <i r="1">
      <x v="3"/>
    </i>
    <i r="1">
      <x v="4"/>
    </i>
    <i t="default">
      <x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29FB7-D2AF-4D3B-B289-0F0999131D8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showAll="0">
      <items count="5">
        <item x="1"/>
        <item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/>
    </i>
    <i>
      <x v="3"/>
    </i>
    <i>
      <x v="2"/>
    </i>
    <i>
      <x v="1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hier="-1"/>
  </pageFields>
  <dataFields count="1">
    <dataField name="Total Profit" fld="4" baseField="6" baseItem="0" numFmtId="16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3EBF13-4E5D-4D4B-BD70-C1ACE73BEED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1">
    <format dxfId="3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776D6-8A46-431F-AB99-FD8BEF78F7E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06413-2656-4624-9962-C969E39D156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706C7-B88E-425C-B443-550BECD7B83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A3241-957D-40DD-8B7D-3B751951A63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2" numFmtId="164"/>
  </dataFields>
  <formats count="1">
    <format dxfId="0">
      <pivotArea outline="0" collapsedLevelsAreSubtotals="1" fieldPosition="0"/>
    </format>
  </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71AF-C374-496E-B964-6B716B82E473}">
  <dimension ref="A1:G47"/>
  <sheetViews>
    <sheetView workbookViewId="0">
      <selection activeCell="G14" sqref="G14"/>
    </sheetView>
  </sheetViews>
  <sheetFormatPr defaultRowHeight="14.4" x14ac:dyDescent="0.3"/>
  <cols>
    <col min="1" max="1" width="17" bestFit="1" customWidth="1"/>
    <col min="2" max="2" width="15.5546875" bestFit="1" customWidth="1"/>
    <col min="3" max="6" width="10.44140625" bestFit="1" customWidth="1"/>
    <col min="7" max="7" width="11.4414062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2045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36</v>
      </c>
      <c r="B6" s="5">
        <v>1069720</v>
      </c>
      <c r="C6" s="5">
        <v>1976228</v>
      </c>
      <c r="D6" s="5">
        <v>1113987</v>
      </c>
      <c r="E6" s="5">
        <v>3472937</v>
      </c>
      <c r="F6" s="5">
        <v>1118265</v>
      </c>
      <c r="G6" s="5">
        <v>8751137</v>
      </c>
    </row>
    <row r="7" spans="1:7" x14ac:dyDescent="0.3">
      <c r="A7" s="4" t="s">
        <v>26</v>
      </c>
      <c r="B7" s="5">
        <v>405384</v>
      </c>
      <c r="C7" s="5">
        <v>724635</v>
      </c>
      <c r="D7" s="5">
        <v>323831</v>
      </c>
      <c r="E7" s="5">
        <v>1754161</v>
      </c>
      <c r="F7" s="5">
        <v>708873</v>
      </c>
      <c r="G7" s="5">
        <v>3916884</v>
      </c>
    </row>
    <row r="8" spans="1:7" x14ac:dyDescent="0.3">
      <c r="A8" s="4" t="s">
        <v>14</v>
      </c>
      <c r="B8" s="5">
        <v>623799</v>
      </c>
      <c r="C8" s="5">
        <v>395911</v>
      </c>
      <c r="D8" s="5">
        <v>237715</v>
      </c>
      <c r="E8" s="5">
        <v>1501348</v>
      </c>
      <c r="F8" s="5">
        <v>560509</v>
      </c>
      <c r="G8" s="5">
        <v>3319282</v>
      </c>
    </row>
    <row r="9" spans="1:7" x14ac:dyDescent="0.3">
      <c r="A9" s="4" t="s">
        <v>40</v>
      </c>
      <c r="B9" s="5">
        <v>434212</v>
      </c>
      <c r="C9" s="5">
        <v>430504</v>
      </c>
      <c r="D9" s="5">
        <v>242044</v>
      </c>
      <c r="E9" s="5">
        <v>885268</v>
      </c>
      <c r="F9" s="5">
        <v>365211</v>
      </c>
      <c r="G9" s="5">
        <v>2357239</v>
      </c>
    </row>
    <row r="10" spans="1:7" x14ac:dyDescent="0.3">
      <c r="A10" s="4" t="s">
        <v>30</v>
      </c>
      <c r="B10" s="5">
        <v>391346</v>
      </c>
      <c r="C10" s="5">
        <v>255365</v>
      </c>
      <c r="D10" s="5">
        <v>254313</v>
      </c>
      <c r="E10" s="5">
        <v>935258</v>
      </c>
      <c r="F10" s="5">
        <v>312705</v>
      </c>
      <c r="G10" s="5">
        <v>2148987</v>
      </c>
    </row>
    <row r="11" spans="1:7" x14ac:dyDescent="0.3">
      <c r="A11" s="4" t="s">
        <v>2037</v>
      </c>
      <c r="B11" s="5">
        <v>2924461</v>
      </c>
      <c r="C11" s="5">
        <v>3782643</v>
      </c>
      <c r="D11" s="5">
        <v>2171890</v>
      </c>
      <c r="E11" s="5">
        <v>8548972</v>
      </c>
      <c r="F11" s="5">
        <v>3065563</v>
      </c>
      <c r="G11" s="5">
        <v>20493529</v>
      </c>
    </row>
    <row r="14" spans="1:7" x14ac:dyDescent="0.3">
      <c r="A14" s="3" t="s">
        <v>10</v>
      </c>
      <c r="B14" t="s">
        <v>2045</v>
      </c>
    </row>
    <row r="16" spans="1:7" x14ac:dyDescent="0.3">
      <c r="A16" s="3" t="s">
        <v>6</v>
      </c>
      <c r="B16" s="3" t="s">
        <v>8</v>
      </c>
      <c r="C16" t="s">
        <v>2038</v>
      </c>
    </row>
    <row r="17" spans="1:3" x14ac:dyDescent="0.3">
      <c r="A17" t="s">
        <v>36</v>
      </c>
      <c r="B17" t="s">
        <v>41</v>
      </c>
      <c r="C17" s="5">
        <v>1069720</v>
      </c>
    </row>
    <row r="18" spans="1:3" x14ac:dyDescent="0.3">
      <c r="B18" t="s">
        <v>27</v>
      </c>
      <c r="C18" s="5">
        <v>1976228</v>
      </c>
    </row>
    <row r="19" spans="1:3" x14ac:dyDescent="0.3">
      <c r="B19" t="s">
        <v>22</v>
      </c>
      <c r="C19" s="5">
        <v>1113987</v>
      </c>
    </row>
    <row r="20" spans="1:3" x14ac:dyDescent="0.3">
      <c r="B20" t="s">
        <v>31</v>
      </c>
      <c r="C20" s="5">
        <v>3472937</v>
      </c>
    </row>
    <row r="21" spans="1:3" x14ac:dyDescent="0.3">
      <c r="B21" t="s">
        <v>16</v>
      </c>
      <c r="C21" s="5">
        <v>1118265</v>
      </c>
    </row>
    <row r="22" spans="1:3" x14ac:dyDescent="0.3">
      <c r="A22" t="s">
        <v>2040</v>
      </c>
      <c r="C22" s="5">
        <v>8751137</v>
      </c>
    </row>
    <row r="23" spans="1:3" x14ac:dyDescent="0.3">
      <c r="A23" t="s">
        <v>26</v>
      </c>
      <c r="B23" t="s">
        <v>41</v>
      </c>
      <c r="C23" s="5">
        <v>405384</v>
      </c>
    </row>
    <row r="24" spans="1:3" x14ac:dyDescent="0.3">
      <c r="B24" t="s">
        <v>27</v>
      </c>
      <c r="C24" s="5">
        <v>724635</v>
      </c>
    </row>
    <row r="25" spans="1:3" x14ac:dyDescent="0.3">
      <c r="B25" t="s">
        <v>22</v>
      </c>
      <c r="C25" s="5">
        <v>323831</v>
      </c>
    </row>
    <row r="26" spans="1:3" x14ac:dyDescent="0.3">
      <c r="B26" t="s">
        <v>31</v>
      </c>
      <c r="C26" s="5">
        <v>1754161</v>
      </c>
    </row>
    <row r="27" spans="1:3" x14ac:dyDescent="0.3">
      <c r="B27" t="s">
        <v>16</v>
      </c>
      <c r="C27" s="5">
        <v>708873</v>
      </c>
    </row>
    <row r="28" spans="1:3" x14ac:dyDescent="0.3">
      <c r="A28" t="s">
        <v>2041</v>
      </c>
      <c r="C28" s="5">
        <v>3916884</v>
      </c>
    </row>
    <row r="29" spans="1:3" x14ac:dyDescent="0.3">
      <c r="A29" t="s">
        <v>14</v>
      </c>
      <c r="B29" t="s">
        <v>41</v>
      </c>
      <c r="C29" s="5">
        <v>623799</v>
      </c>
    </row>
    <row r="30" spans="1:3" x14ac:dyDescent="0.3">
      <c r="B30" t="s">
        <v>27</v>
      </c>
      <c r="C30" s="5">
        <v>395911</v>
      </c>
    </row>
    <row r="31" spans="1:3" x14ac:dyDescent="0.3">
      <c r="B31" t="s">
        <v>22</v>
      </c>
      <c r="C31" s="5">
        <v>237715</v>
      </c>
    </row>
    <row r="32" spans="1:3" x14ac:dyDescent="0.3">
      <c r="B32" t="s">
        <v>31</v>
      </c>
      <c r="C32" s="5">
        <v>1501348</v>
      </c>
    </row>
    <row r="33" spans="1:3" x14ac:dyDescent="0.3">
      <c r="B33" t="s">
        <v>16</v>
      </c>
      <c r="C33" s="5">
        <v>560509</v>
      </c>
    </row>
    <row r="34" spans="1:3" x14ac:dyDescent="0.3">
      <c r="A34" t="s">
        <v>2042</v>
      </c>
      <c r="C34" s="5">
        <v>3319282</v>
      </c>
    </row>
    <row r="35" spans="1:3" x14ac:dyDescent="0.3">
      <c r="A35" t="s">
        <v>40</v>
      </c>
      <c r="B35" t="s">
        <v>41</v>
      </c>
      <c r="C35" s="5">
        <v>434212</v>
      </c>
    </row>
    <row r="36" spans="1:3" x14ac:dyDescent="0.3">
      <c r="B36" t="s">
        <v>27</v>
      </c>
      <c r="C36" s="5">
        <v>430504</v>
      </c>
    </row>
    <row r="37" spans="1:3" x14ac:dyDescent="0.3">
      <c r="B37" t="s">
        <v>22</v>
      </c>
      <c r="C37" s="5">
        <v>242044</v>
      </c>
    </row>
    <row r="38" spans="1:3" x14ac:dyDescent="0.3">
      <c r="B38" t="s">
        <v>31</v>
      </c>
      <c r="C38" s="5">
        <v>885268</v>
      </c>
    </row>
    <row r="39" spans="1:3" x14ac:dyDescent="0.3">
      <c r="B39" t="s">
        <v>16</v>
      </c>
      <c r="C39" s="5">
        <v>365211</v>
      </c>
    </row>
    <row r="40" spans="1:3" x14ac:dyDescent="0.3">
      <c r="A40" t="s">
        <v>2043</v>
      </c>
      <c r="C40" s="5">
        <v>2357239</v>
      </c>
    </row>
    <row r="41" spans="1:3" x14ac:dyDescent="0.3">
      <c r="A41" t="s">
        <v>30</v>
      </c>
      <c r="B41" t="s">
        <v>41</v>
      </c>
      <c r="C41" s="5">
        <v>391346</v>
      </c>
    </row>
    <row r="42" spans="1:3" x14ac:dyDescent="0.3">
      <c r="B42" t="s">
        <v>27</v>
      </c>
      <c r="C42" s="5">
        <v>255365</v>
      </c>
    </row>
    <row r="43" spans="1:3" x14ac:dyDescent="0.3">
      <c r="B43" t="s">
        <v>22</v>
      </c>
      <c r="C43" s="5">
        <v>254313</v>
      </c>
    </row>
    <row r="44" spans="1:3" x14ac:dyDescent="0.3">
      <c r="B44" t="s">
        <v>31</v>
      </c>
      <c r="C44" s="5">
        <v>935258</v>
      </c>
    </row>
    <row r="45" spans="1:3" x14ac:dyDescent="0.3">
      <c r="B45" t="s">
        <v>16</v>
      </c>
      <c r="C45" s="5">
        <v>312705</v>
      </c>
    </row>
    <row r="46" spans="1:3" x14ac:dyDescent="0.3">
      <c r="A46" t="s">
        <v>2044</v>
      </c>
      <c r="C46" s="5">
        <v>2148987</v>
      </c>
    </row>
    <row r="47" spans="1:3" x14ac:dyDescent="0.3">
      <c r="A47" t="s">
        <v>2037</v>
      </c>
      <c r="C47" s="5">
        <v>20493529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8D806-BDF4-4194-944C-CA83192F9BB3}">
  <dimension ref="A1:W5"/>
  <sheetViews>
    <sheetView showGridLines="0" tabSelected="1" zoomScale="72" zoomScaleNormal="72" workbookViewId="0">
      <selection activeCell="AB25" sqref="AB25"/>
    </sheetView>
  </sheetViews>
  <sheetFormatPr defaultRowHeight="14.4" x14ac:dyDescent="0.3"/>
  <sheetData>
    <row r="1" spans="1:23" x14ac:dyDescent="0.3">
      <c r="A1" s="6" t="s">
        <v>2052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</sheetData>
  <mergeCells count="1">
    <mergeCell ref="A1:W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13576-44AF-4850-9575-C94D1E0377B7}">
  <dimension ref="A3:B8"/>
  <sheetViews>
    <sheetView zoomScale="122" zoomScaleNormal="122" workbookViewId="0">
      <selection activeCell="M7" sqref="M7"/>
    </sheetView>
  </sheetViews>
  <sheetFormatPr defaultRowHeight="14.4" x14ac:dyDescent="0.3"/>
  <cols>
    <col min="1" max="1" width="12.5546875" bestFit="1" customWidth="1"/>
    <col min="2" max="2" width="14.109375" bestFit="1" customWidth="1"/>
  </cols>
  <sheetData>
    <row r="3" spans="1:2" x14ac:dyDescent="0.3">
      <c r="A3" s="3" t="s">
        <v>2046</v>
      </c>
      <c r="B3" t="s">
        <v>2047</v>
      </c>
    </row>
    <row r="4" spans="1:2" x14ac:dyDescent="0.3">
      <c r="A4" s="4" t="s">
        <v>24</v>
      </c>
      <c r="B4" s="5">
        <v>3629433</v>
      </c>
    </row>
    <row r="5" spans="1:2" x14ac:dyDescent="0.3">
      <c r="A5" s="4" t="s">
        <v>18</v>
      </c>
      <c r="B5" s="5">
        <v>9013666</v>
      </c>
    </row>
    <row r="6" spans="1:2" x14ac:dyDescent="0.3">
      <c r="A6" s="4" t="s">
        <v>33</v>
      </c>
      <c r="B6" s="5">
        <v>5030165</v>
      </c>
    </row>
    <row r="7" spans="1:2" x14ac:dyDescent="0.3">
      <c r="A7" s="4" t="s">
        <v>51</v>
      </c>
      <c r="B7" s="5">
        <v>2820265</v>
      </c>
    </row>
    <row r="8" spans="1:2" x14ac:dyDescent="0.3">
      <c r="A8" s="4" t="s">
        <v>2037</v>
      </c>
      <c r="B8" s="5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7ACF-2F85-42EC-B110-30C3CE6EF3CF}">
  <dimension ref="A3:B9"/>
  <sheetViews>
    <sheetView topLeftCell="A3" zoomScale="140" workbookViewId="0">
      <selection activeCell="K12" sqref="K12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2046</v>
      </c>
      <c r="B3" t="s">
        <v>2048</v>
      </c>
    </row>
    <row r="4" spans="1:2" x14ac:dyDescent="0.3">
      <c r="A4" s="4" t="s">
        <v>41</v>
      </c>
      <c r="B4" s="5">
        <v>8585057</v>
      </c>
    </row>
    <row r="5" spans="1:2" x14ac:dyDescent="0.3">
      <c r="A5" s="4" t="s">
        <v>27</v>
      </c>
      <c r="B5" s="5">
        <v>10199670</v>
      </c>
    </row>
    <row r="6" spans="1:2" x14ac:dyDescent="0.3">
      <c r="A6" s="4" t="s">
        <v>22</v>
      </c>
      <c r="B6" s="5">
        <v>5496803</v>
      </c>
    </row>
    <row r="7" spans="1:2" x14ac:dyDescent="0.3">
      <c r="A7" s="4" t="s">
        <v>31</v>
      </c>
      <c r="B7" s="5">
        <v>21863582</v>
      </c>
    </row>
    <row r="8" spans="1:2" x14ac:dyDescent="0.3">
      <c r="A8" s="4" t="s">
        <v>16</v>
      </c>
      <c r="B8" s="5">
        <v>7820463</v>
      </c>
    </row>
    <row r="9" spans="1:2" x14ac:dyDescent="0.3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3570-D834-4A64-B954-168FE8D9B1EF}">
  <dimension ref="A3:D9"/>
  <sheetViews>
    <sheetView zoomScaleNormal="100" workbookViewId="0">
      <selection activeCell="C7" sqref="C7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109375" bestFit="1" customWidth="1"/>
  </cols>
  <sheetData>
    <row r="3" spans="1:4" x14ac:dyDescent="0.3">
      <c r="A3" s="3" t="s">
        <v>2046</v>
      </c>
      <c r="B3" t="s">
        <v>2048</v>
      </c>
      <c r="C3" t="s">
        <v>2049</v>
      </c>
      <c r="D3" t="s">
        <v>2047</v>
      </c>
    </row>
    <row r="4" spans="1:4" x14ac:dyDescent="0.3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3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3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3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3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3">
      <c r="A9" s="4" t="s">
        <v>2037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4AA3-76AE-4297-A603-CE53BF97686B}">
  <dimension ref="A3:B9"/>
  <sheetViews>
    <sheetView workbookViewId="0">
      <pane ySplit="2" topLeftCell="A3" activePane="bottomLeft" state="frozen"/>
      <selection pane="bottomLeft" activeCell="B4" sqref="B4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2046</v>
      </c>
      <c r="B3" t="s">
        <v>2050</v>
      </c>
    </row>
    <row r="4" spans="1:2" x14ac:dyDescent="0.3">
      <c r="A4" s="4" t="s">
        <v>36</v>
      </c>
      <c r="B4">
        <v>818</v>
      </c>
    </row>
    <row r="5" spans="1:2" x14ac:dyDescent="0.3">
      <c r="A5" s="4" t="s">
        <v>40</v>
      </c>
      <c r="B5">
        <v>258</v>
      </c>
    </row>
    <row r="6" spans="1:2" x14ac:dyDescent="0.3">
      <c r="A6" s="4" t="s">
        <v>14</v>
      </c>
      <c r="B6">
        <v>314</v>
      </c>
    </row>
    <row r="7" spans="1:2" x14ac:dyDescent="0.3">
      <c r="A7" s="4" t="s">
        <v>26</v>
      </c>
      <c r="B7">
        <v>411</v>
      </c>
    </row>
    <row r="8" spans="1:2" x14ac:dyDescent="0.3">
      <c r="A8" s="4" t="s">
        <v>30</v>
      </c>
      <c r="B8">
        <v>199</v>
      </c>
    </row>
    <row r="9" spans="1:2" x14ac:dyDescent="0.3">
      <c r="A9" s="4" t="s">
        <v>2037</v>
      </c>
      <c r="B9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17B53-5B1A-4AF2-A04C-4E4B8B1CDF71}">
  <dimension ref="A3:B10"/>
  <sheetViews>
    <sheetView zoomScale="94" zoomScaleNormal="94" workbookViewId="0">
      <selection activeCell="R15" sqref="R15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2046</v>
      </c>
      <c r="B3" t="s">
        <v>2051</v>
      </c>
    </row>
    <row r="4" spans="1:2" x14ac:dyDescent="0.3">
      <c r="A4" s="4" t="s">
        <v>45</v>
      </c>
      <c r="B4" s="5">
        <v>15749.475903614459</v>
      </c>
    </row>
    <row r="5" spans="1:2" x14ac:dyDescent="0.3">
      <c r="A5" s="4" t="s">
        <v>15</v>
      </c>
      <c r="B5" s="5">
        <v>17351.541666666668</v>
      </c>
    </row>
    <row r="6" spans="1:2" x14ac:dyDescent="0.3">
      <c r="A6" s="4" t="s">
        <v>21</v>
      </c>
      <c r="B6" s="5">
        <v>16810.526576019776</v>
      </c>
    </row>
    <row r="7" spans="1:2" x14ac:dyDescent="0.3">
      <c r="A7" s="4" t="s">
        <v>35</v>
      </c>
      <c r="B7" s="5">
        <v>16478.297945205479</v>
      </c>
    </row>
    <row r="8" spans="1:2" x14ac:dyDescent="0.3">
      <c r="A8" s="4" t="s">
        <v>20</v>
      </c>
      <c r="B8" s="5">
        <v>17174.339449541283</v>
      </c>
    </row>
    <row r="9" spans="1:2" x14ac:dyDescent="0.3">
      <c r="A9" s="4" t="s">
        <v>29</v>
      </c>
      <c r="B9" s="5">
        <v>16627.71517027864</v>
      </c>
    </row>
    <row r="10" spans="1:2" x14ac:dyDescent="0.3">
      <c r="A10" s="4" t="s">
        <v>2037</v>
      </c>
      <c r="B10" s="5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>
      <selection sqref="A1:L2001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A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Dashboard</vt:lpstr>
      <vt:lpstr>Pivot 1</vt:lpstr>
      <vt:lpstr>Pivot 2</vt:lpstr>
      <vt:lpstr>Pivot 3</vt:lpstr>
      <vt:lpstr>Pivot 4</vt:lpstr>
      <vt:lpstr>Pivot 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Joswin Dsouza</cp:lastModifiedBy>
  <dcterms:created xsi:type="dcterms:W3CDTF">2015-06-05T18:17:20Z</dcterms:created>
  <dcterms:modified xsi:type="dcterms:W3CDTF">2025-10-30T11:40:08Z</dcterms:modified>
</cp:coreProperties>
</file>